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Inputs" sheetId="1" state="visible" r:id="rId1"/>
    <sheet xmlns:r="http://schemas.openxmlformats.org/officeDocument/2006/relationships" name="2_Equipment_Sizing" sheetId="2" state="visible" r:id="rId2"/>
    <sheet xmlns:r="http://schemas.openxmlformats.org/officeDocument/2006/relationships" name="3_Capex" sheetId="3" state="visible" r:id="rId3"/>
    <sheet xmlns:r="http://schemas.openxmlformats.org/officeDocument/2006/relationships" name="4_Monthly_CashFlow" sheetId="4" state="visible" r:id="rId4"/>
    <sheet xmlns:r="http://schemas.openxmlformats.org/officeDocument/2006/relationships" name="5_Scenarios" sheetId="5" state="visible" r:id="rId5"/>
    <sheet xmlns:r="http://schemas.openxmlformats.org/officeDocument/2006/relationships" name="6_Sensitivity" sheetId="6" state="visible" r:id="rId6"/>
    <sheet xmlns:r="http://schemas.openxmlformats.org/officeDocument/2006/relationships" name="7_Future_Pha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FFF3D6"/>
      </patternFill>
    </fill>
    <fill>
      <patternFill patternType="solid">
        <fgColor rgb="00DCE8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2" fillId="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4" customWidth="1" min="3" max="3"/>
    <col width="62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Note</t>
        </is>
      </c>
    </row>
    <row r="2">
      <c r="A2" t="inlineStr">
        <is>
          <t>Community residents (H) — CHANGE THIS</t>
        </is>
      </c>
      <c r="B2" s="2" t="n">
        <v>20</v>
      </c>
      <c r="C2" t="inlineStr">
        <is>
          <t>people</t>
        </is>
      </c>
      <c r="D2" t="inlineStr">
        <is>
          <t>scenarios sheet covers 10/20/40/77</t>
        </is>
      </c>
    </row>
    <row r="3">
      <c r="A3" t="inlineStr">
        <is>
          <t>Quail eggs eaten / person / week</t>
        </is>
      </c>
      <c r="B3" t="n">
        <v>12</v>
      </c>
      <c r="C3" t="inlineStr">
        <is>
          <t>eggs</t>
        </is>
      </c>
      <c r="D3" t="inlineStr">
        <is>
          <t>≈1 dozen</t>
        </is>
      </c>
    </row>
    <row r="4">
      <c r="A4" t="inlineStr">
        <is>
          <t>Quail eaten / person / week</t>
        </is>
      </c>
      <c r="B4" t="n">
        <v>1</v>
      </c>
      <c r="C4" t="inlineStr">
        <is>
          <t>birds</t>
        </is>
      </c>
      <c r="D4" t="inlineStr">
        <is>
          <t>dressed</t>
        </is>
      </c>
    </row>
    <row r="5">
      <c r="A5" t="inlineStr">
        <is>
          <t>Laying rate</t>
        </is>
      </c>
      <c r="B5" t="n">
        <v>0.75</v>
      </c>
      <c r="C5" t="inlineStr">
        <is>
          <t>eggs/hen/day</t>
        </is>
      </c>
      <c r="D5" t="inlineStr">
        <is>
          <t>Coturnix 0.7–0.9</t>
        </is>
      </c>
    </row>
    <row r="6">
      <c r="A6" t="inlineStr">
        <is>
          <t>Hatch rate</t>
        </is>
      </c>
      <c r="B6" t="n">
        <v>0.7</v>
      </c>
      <c r="C6" t="inlineStr">
        <is>
          <t>-</t>
        </is>
      </c>
      <c r="D6" t="inlineStr"/>
    </row>
    <row r="7">
      <c r="A7" t="inlineStr">
        <is>
          <t>Survival to processing</t>
        </is>
      </c>
      <c r="B7" t="n">
        <v>0.85</v>
      </c>
      <c r="C7" t="inlineStr">
        <is>
          <t>-</t>
        </is>
      </c>
      <c r="D7" t="inlineStr"/>
    </row>
    <row r="8">
      <c r="A8" t="inlineStr">
        <is>
          <t>Hens per kit (full production)</t>
        </is>
      </c>
      <c r="B8" t="n">
        <v>200</v>
      </c>
      <c r="C8" t="inlineStr">
        <is>
          <t>birds</t>
        </is>
      </c>
      <c r="D8" t="inlineStr">
        <is>
          <t>5-layer cage ~250 adults</t>
        </is>
      </c>
    </row>
    <row r="9">
      <c r="A9" t="inlineStr">
        <is>
          <t>Eggs per incubator batch</t>
        </is>
      </c>
      <c r="B9" t="n">
        <v>216</v>
      </c>
      <c r="C9" t="inlineStr">
        <is>
          <t>eggs</t>
        </is>
      </c>
      <c r="D9" t="inlineStr">
        <is>
          <t>per kit</t>
        </is>
      </c>
    </row>
    <row r="10">
      <c r="A10" t="inlineStr">
        <is>
          <t>Incubation cycle</t>
        </is>
      </c>
      <c r="B10" t="n">
        <v>21</v>
      </c>
      <c r="C10" t="inlineStr">
        <is>
          <t>days</t>
        </is>
      </c>
      <c r="D10" t="inlineStr">
        <is>
          <t>→ 72 eggs/wk/kit = BOTTLENECK</t>
        </is>
      </c>
    </row>
    <row r="11">
      <c r="A11" t="inlineStr">
        <is>
          <t>Eggs wholesale price</t>
        </is>
      </c>
      <c r="B11" t="n">
        <v>3.5</v>
      </c>
      <c r="C11" t="inlineStr">
        <is>
          <t>$/dozen</t>
        </is>
      </c>
      <c r="D11" t="inlineStr">
        <is>
          <t>verify locally; retail $4–6</t>
        </is>
      </c>
    </row>
    <row r="12">
      <c r="A12" t="inlineStr">
        <is>
          <t>Eggs retail price (food value)</t>
        </is>
      </c>
      <c r="B12" t="n">
        <v>5</v>
      </c>
      <c r="C12" t="inlineStr">
        <is>
          <t>$/dozen</t>
        </is>
      </c>
      <c r="D12" t="inlineStr"/>
    </row>
    <row r="13">
      <c r="A13" t="inlineStr">
        <is>
          <t>Dressed bird wholesale price</t>
        </is>
      </c>
      <c r="B13" t="n">
        <v>2.7</v>
      </c>
      <c r="C13" t="inlineStr">
        <is>
          <t>$/bird</t>
        </is>
      </c>
      <c r="D13" t="inlineStr">
        <is>
          <t>~0.45 lb @ $6/lb</t>
        </is>
      </c>
    </row>
    <row r="14">
      <c r="A14" t="inlineStr">
        <is>
          <t>Variable cost per bird-month</t>
        </is>
      </c>
      <c r="B14" t="n">
        <v>1.23</v>
      </c>
      <c r="C14" t="inlineStr">
        <is>
          <t>$</t>
        </is>
      </c>
      <c r="D14" t="inlineStr">
        <is>
          <t>feed+bedding+replacement</t>
        </is>
      </c>
    </row>
    <row r="15">
      <c r="A15" t="inlineStr">
        <is>
          <t>Fixed cost per kit-month</t>
        </is>
      </c>
      <c r="B15" t="n">
        <v>95</v>
      </c>
      <c r="C15" t="inlineStr">
        <is>
          <t>$</t>
        </is>
      </c>
      <c r="D15" t="inlineStr">
        <is>
          <t>power, misc, insurance</t>
        </is>
      </c>
    </row>
    <row r="16">
      <c r="A16" t="inlineStr">
        <is>
          <t>Site overhead per month</t>
        </is>
      </c>
      <c r="B16" t="n">
        <v>150</v>
      </c>
      <c r="C16" t="inlineStr">
        <is>
          <t>$</t>
        </is>
      </c>
      <c r="D16" t="inlineStr">
        <is>
          <t>shared</t>
        </is>
      </c>
    </row>
    <row r="17">
      <c r="A17" t="inlineStr">
        <is>
          <t>Quail Professional Kit (Mother Earth News)</t>
        </is>
      </c>
      <c r="B17" t="n">
        <v>3729.96</v>
      </c>
      <c r="C17" t="inlineStr">
        <is>
          <t>$</t>
        </is>
      </c>
      <c r="D17" t="inlineStr">
        <is>
          <t>incubator+brooder+grow-out+breeding cage+processing</t>
        </is>
      </c>
    </row>
    <row r="18">
      <c r="A18" t="inlineStr">
        <is>
          <t>Per-kit extras</t>
        </is>
      </c>
      <c r="B18" t="n">
        <v>150</v>
      </c>
      <c r="C18" t="inlineStr">
        <is>
          <t>$</t>
        </is>
      </c>
      <c r="D18" t="inlineStr"/>
    </row>
    <row r="19">
      <c r="A19" t="inlineStr">
        <is>
          <t>Day-old chick</t>
        </is>
      </c>
      <c r="B19" t="n">
        <v>1.75</v>
      </c>
      <c r="C19" t="inlineStr">
        <is>
          <t>$</t>
        </is>
      </c>
      <c r="D19" t="inlineStr"/>
    </row>
    <row r="20">
      <c r="A20" t="inlineStr">
        <is>
          <t>Startup feed per kit</t>
        </is>
      </c>
      <c r="B20" t="n">
        <v>350</v>
      </c>
      <c r="C20" t="inlineStr">
        <is>
          <t>$</t>
        </is>
      </c>
      <c r="D20" t="inlineStr"/>
    </row>
    <row r="21">
      <c r="A21" t="inlineStr">
        <is>
          <t>Processing supplies per kit</t>
        </is>
      </c>
      <c r="B21" t="n">
        <v>150</v>
      </c>
      <c r="C21" t="inlineStr">
        <is>
          <t>$</t>
        </is>
      </c>
      <c r="D21" t="inlineStr"/>
    </row>
    <row r="22">
      <c r="A22" t="inlineStr">
        <is>
          <t>Shelter retrofit</t>
        </is>
      </c>
      <c r="B22" t="n">
        <v>3000</v>
      </c>
      <c r="C22" t="inlineStr">
        <is>
          <t>$</t>
        </is>
      </c>
      <c r="D22" t="inlineStr">
        <is>
          <t>site, once</t>
        </is>
      </c>
    </row>
    <row r="23">
      <c r="A23" t="inlineStr">
        <is>
          <t>Cold storage</t>
        </is>
      </c>
      <c r="B23" t="n">
        <v>800</v>
      </c>
      <c r="C23" t="inlineStr">
        <is>
          <t>$</t>
        </is>
      </c>
      <c r="D23" t="inlineStr">
        <is>
          <t>site, once</t>
        </is>
      </c>
    </row>
    <row r="24">
      <c r="A24" t="inlineStr">
        <is>
          <t>Feed storage</t>
        </is>
      </c>
      <c r="B24" t="n">
        <v>250</v>
      </c>
      <c r="C24" t="inlineStr">
        <is>
          <t>$</t>
        </is>
      </c>
      <c r="D24" t="inlineStr">
        <is>
          <t>site, once</t>
        </is>
      </c>
    </row>
    <row r="25">
      <c r="A25" t="inlineStr">
        <is>
          <t>Wash/pack table</t>
        </is>
      </c>
      <c r="B25" t="n">
        <v>300</v>
      </c>
      <c r="C25" t="inlineStr">
        <is>
          <t>$</t>
        </is>
      </c>
      <c r="D25" t="inlineStr">
        <is>
          <t>site, once</t>
        </is>
      </c>
    </row>
    <row r="26">
      <c r="A26" t="inlineStr">
        <is>
          <t>Permits &amp; licensing</t>
        </is>
      </c>
      <c r="B26" t="n">
        <v>250</v>
      </c>
      <c r="C26" t="inlineStr">
        <is>
          <t>$</t>
        </is>
      </c>
      <c r="D26" t="inlineStr">
        <is>
          <t>varies by state</t>
        </is>
      </c>
    </row>
    <row r="27">
      <c r="A27" t="inlineStr">
        <is>
          <t>Utility hookups</t>
        </is>
      </c>
      <c r="B27" t="n">
        <v>500</v>
      </c>
      <c r="C27" t="inlineStr">
        <is>
          <t>$</t>
        </is>
      </c>
      <c r="D27" t="inlineStr">
        <is>
          <t>site, once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58" customWidth="1" min="3" max="3"/>
  </cols>
  <sheetData>
    <row r="1">
      <c r="A1" s="1" t="inlineStr">
        <is>
          <t>Sizing calculation (H=20 example)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Residents to feed (H)</t>
        </is>
      </c>
      <c r="B2" s="2" t="n">
        <v>20</v>
      </c>
      <c r="C2" t="inlineStr">
        <is>
          <t>from Inputs</t>
        </is>
      </c>
    </row>
    <row r="3">
      <c r="A3" t="inlineStr">
        <is>
          <t>Eggs needed for community / wk</t>
        </is>
      </c>
      <c r="B3" t="n">
        <v>240</v>
      </c>
      <c r="C3" t="inlineStr">
        <is>
          <t>12 × H</t>
        </is>
      </c>
    </row>
    <row r="4">
      <c r="A4" t="inlineStr">
        <is>
          <t>Birds needed for community / wk</t>
        </is>
      </c>
      <c r="B4" t="n">
        <v>20</v>
      </c>
      <c r="C4" t="inlineStr">
        <is>
          <t>1 × H</t>
        </is>
      </c>
    </row>
    <row r="5">
      <c r="A5" t="inlineStr">
        <is>
          <t>Eggs to incubate for community meat / wk</t>
        </is>
      </c>
      <c r="B5" t="n">
        <v>33.6</v>
      </c>
      <c r="C5" t="inlineStr">
        <is>
          <t>demand ÷ 0.595</t>
        </is>
      </c>
    </row>
    <row r="6">
      <c r="A6" t="inlineStr">
        <is>
          <t>Max eggs incubated / wk per kit</t>
        </is>
      </c>
      <c r="B6" t="n">
        <v>72</v>
      </c>
      <c r="C6" t="inlineStr">
        <is>
          <t>216 ÷ 3-wk cycle — THE BOTTLENECK</t>
        </is>
      </c>
    </row>
    <row r="7">
      <c r="A7" t="inlineStr">
        <is>
          <t>Chicks per kit / wk at full incubation</t>
        </is>
      </c>
      <c r="B7" t="n">
        <v>42.8</v>
      </c>
      <c r="C7" t="inlineStr">
        <is>
          <t>72 × 0.595</t>
        </is>
      </c>
    </row>
    <row r="8">
      <c r="A8" t="inlineStr">
        <is>
          <t>Kits required (meat constraint)</t>
        </is>
      </c>
      <c r="B8" t="n">
        <v>1</v>
      </c>
      <c r="C8" t="inlineStr">
        <is>
          <t>ceil(H ÷ 42.8)</t>
        </is>
      </c>
    </row>
    <row r="9">
      <c r="A9" t="inlineStr">
        <is>
          <t>Hens at full production</t>
        </is>
      </c>
      <c r="B9" t="n">
        <v>200</v>
      </c>
      <c r="C9" t="inlineStr"/>
    </row>
    <row r="10">
      <c r="A10" t="inlineStr">
        <is>
          <t>Total eggs laid / wk</t>
        </is>
      </c>
      <c r="B10" t="n">
        <v>1050</v>
      </c>
      <c r="C10" t="inlineStr">
        <is>
          <t>5.25 × hens</t>
        </is>
      </c>
    </row>
    <row r="11">
      <c r="A11" t="inlineStr">
        <is>
          <t>Eggs actually incubated / wk (full capacity)</t>
        </is>
      </c>
      <c r="B11" t="n">
        <v>72</v>
      </c>
      <c r="C11" t="inlineStr">
        <is>
          <t>every slot used — chicks are sellable</t>
        </is>
      </c>
    </row>
    <row r="12">
      <c r="A12" t="inlineStr">
        <is>
          <t>Chicks produced / wk</t>
        </is>
      </c>
      <c r="B12" t="n">
        <v>42.8</v>
      </c>
      <c r="C12" t="inlineStr"/>
    </row>
    <row r="13">
      <c r="A13" t="inlineStr">
        <is>
          <t>Surplus eggs (dozen/wk)</t>
        </is>
      </c>
      <c r="B13" t="n">
        <v>61.5</v>
      </c>
      <c r="C13" t="inlineStr">
        <is>
          <t>sold outside</t>
        </is>
      </c>
    </row>
    <row r="14">
      <c r="A14" t="inlineStr">
        <is>
          <t>Surplus birds / wk</t>
        </is>
      </c>
      <c r="B14" t="n">
        <v>22.8</v>
      </c>
      <c r="C14" t="inlineStr">
        <is>
          <t>sold outside</t>
        </is>
      </c>
    </row>
    <row r="15">
      <c r="A15" s="2" t="inlineStr">
        <is>
          <t>RULE OF THUMB</t>
        </is>
      </c>
      <c r="B15" s="2" t="inlineStr"/>
      <c r="C15" s="2" t="inlineStr">
        <is>
          <t>one kit feeds ~43 people on meat, ~80 on eggs; size by MEAT</t>
        </is>
      </c>
    </row>
    <row r="16">
      <c r="A16" s="2" t="inlineStr">
        <is>
          <t>Above ~40 residents per kit:</t>
        </is>
      </c>
      <c r="B16" s="2" t="inlineStr"/>
      <c r="C16" s="2" t="inlineStr">
        <is>
          <t>buy a standalone 216-egg incubator (~$600) instead of a second full kit — it doubles meat output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12" customWidth="1" min="3" max="3"/>
    <col width="12" customWidth="1" min="4" max="4"/>
    <col width="24" customWidth="1" min="5" max="5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Unit cost</t>
        </is>
      </c>
      <c r="D1" s="1" t="inlineStr">
        <is>
          <t>Total</t>
        </is>
      </c>
      <c r="E1" s="1" t="inlineStr">
        <is>
          <t>Type</t>
        </is>
      </c>
    </row>
    <row r="2">
      <c r="A2" t="inlineStr">
        <is>
          <t>Quail Professional Kit (Mother Earth News)</t>
        </is>
      </c>
      <c r="B2" t="n">
        <v>1</v>
      </c>
      <c r="C2" t="n">
        <v>3729.96</v>
      </c>
      <c r="D2">
        <f>B2*C2</f>
        <v/>
      </c>
      <c r="E2" t="inlineStr">
        <is>
          <t>Production cell</t>
        </is>
      </c>
    </row>
    <row r="3">
      <c r="A3" t="inlineStr">
        <is>
          <t>Per-kit extras (feeders/drinkers)</t>
        </is>
      </c>
      <c r="B3" t="n">
        <v>1</v>
      </c>
      <c r="C3" t="n">
        <v>150</v>
      </c>
      <c r="D3">
        <f>B3*C3</f>
        <v/>
      </c>
      <c r="E3" t="inlineStr">
        <is>
          <t>Production cell</t>
        </is>
      </c>
    </row>
    <row r="4">
      <c r="A4" t="inlineStr">
        <is>
          <t>Initial breeding stock (day-old chicks, 250/kit)</t>
        </is>
      </c>
      <c r="B4" t="n">
        <v>250</v>
      </c>
      <c r="C4" t="n">
        <v>1.75</v>
      </c>
      <c r="D4">
        <f>B4*C4</f>
        <v/>
      </c>
      <c r="E4" t="inlineStr">
        <is>
          <t>Production cell</t>
        </is>
      </c>
    </row>
    <row r="5">
      <c r="A5" t="inlineStr">
        <is>
          <t>Startup feed (first ~10 weeks)</t>
        </is>
      </c>
      <c r="B5" t="n">
        <v>1</v>
      </c>
      <c r="C5" t="n">
        <v>350</v>
      </c>
      <c r="D5">
        <f>B5*C5</f>
        <v/>
      </c>
      <c r="E5" t="inlineStr">
        <is>
          <t>Production cell</t>
        </is>
      </c>
    </row>
    <row r="6">
      <c r="A6" t="inlineStr">
        <is>
          <t>Processing supplies</t>
        </is>
      </c>
      <c r="B6" t="n">
        <v>1</v>
      </c>
      <c r="C6" t="n">
        <v>150</v>
      </c>
      <c r="D6">
        <f>B6*C6</f>
        <v/>
      </c>
      <c r="E6" t="inlineStr">
        <is>
          <t>Production cell</t>
        </is>
      </c>
    </row>
    <row r="7">
      <c r="A7" t="inlineStr">
        <is>
          <t>Shelter retrofit</t>
        </is>
      </c>
      <c r="B7" t="n">
        <v>1</v>
      </c>
      <c r="C7" t="n">
        <v>3000</v>
      </c>
      <c r="D7">
        <f>B7*C7</f>
        <v/>
      </c>
      <c r="E7" t="inlineStr">
        <is>
          <t>Site (once)</t>
        </is>
      </c>
    </row>
    <row r="8">
      <c r="A8" t="inlineStr">
        <is>
          <t>Cold storage</t>
        </is>
      </c>
      <c r="B8" t="n">
        <v>1</v>
      </c>
      <c r="C8" t="n">
        <v>800</v>
      </c>
      <c r="D8">
        <f>B8*C8</f>
        <v/>
      </c>
      <c r="E8" t="inlineStr">
        <is>
          <t>Site (once)</t>
        </is>
      </c>
    </row>
    <row r="9">
      <c r="A9" t="inlineStr">
        <is>
          <t>Feed storage</t>
        </is>
      </c>
      <c r="B9" t="n">
        <v>1</v>
      </c>
      <c r="C9" t="n">
        <v>250</v>
      </c>
      <c r="D9">
        <f>B9*C9</f>
        <v/>
      </c>
      <c r="E9" t="inlineStr">
        <is>
          <t>Site (once)</t>
        </is>
      </c>
    </row>
    <row r="10">
      <c r="A10" t="inlineStr">
        <is>
          <t>Wash/pack table</t>
        </is>
      </c>
      <c r="B10" t="n">
        <v>1</v>
      </c>
      <c r="C10" t="n">
        <v>300</v>
      </c>
      <c r="D10">
        <f>B10*C10</f>
        <v/>
      </c>
      <c r="E10" t="inlineStr">
        <is>
          <t>Site (once)</t>
        </is>
      </c>
    </row>
    <row r="11">
      <c r="A11" t="inlineStr">
        <is>
          <t>Permits &amp; licensing</t>
        </is>
      </c>
      <c r="B11" t="n">
        <v>1</v>
      </c>
      <c r="C11" t="n">
        <v>250</v>
      </c>
      <c r="D11">
        <f>B11*C11</f>
        <v/>
      </c>
      <c r="E11" t="inlineStr">
        <is>
          <t>Site (once)</t>
        </is>
      </c>
    </row>
    <row r="12">
      <c r="A12" t="inlineStr">
        <is>
          <t>Utility hookups</t>
        </is>
      </c>
      <c r="B12" t="n">
        <v>1</v>
      </c>
      <c r="C12" t="n">
        <v>500</v>
      </c>
      <c r="D12">
        <f>B12*C12</f>
        <v/>
      </c>
      <c r="E12" t="inlineStr">
        <is>
          <t>Site (once)</t>
        </is>
      </c>
    </row>
    <row r="13">
      <c r="A13" s="3" t="inlineStr">
        <is>
          <t>TOTAL INITIAL INVESTMENT</t>
        </is>
      </c>
      <c r="D13" s="4">
        <f>SUM(D2:D12)</f>
        <v/>
      </c>
    </row>
    <row r="14">
      <c r="A14" t="inlineStr">
        <is>
          <t>Note: does NOT include land purchase/lease or the housing build — those are site-dependent and funded separately in the capital stack.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1" customWidth="1" min="3" max="3"/>
    <col width="11" customWidth="1" min="4" max="4"/>
    <col width="20" customWidth="1" min="5" max="5"/>
    <col width="13" customWidth="1" min="6" max="6"/>
    <col width="16" customWidth="1" min="7" max="7"/>
    <col width="18" customWidth="1" min="8" max="8"/>
  </cols>
  <sheetData>
    <row r="1">
      <c r="A1" s="1" t="inlineStr">
        <is>
          <t>Month</t>
        </is>
      </c>
      <c r="B1" s="1" t="inlineStr">
        <is>
          <t>Revenue (surplus)</t>
        </is>
      </c>
      <c r="C1" s="1" t="inlineStr">
        <is>
          <t>Opex</t>
        </is>
      </c>
      <c r="D1" s="1" t="inlineStr">
        <is>
          <t>Net cash</t>
        </is>
      </c>
      <c r="E1" s="1" t="inlineStr">
        <is>
          <t>Food value to community</t>
        </is>
      </c>
      <c r="F1" s="1" t="inlineStr">
        <is>
          <t>Net economic</t>
        </is>
      </c>
      <c r="G1" s="1" t="inlineStr">
        <is>
          <t>Cumulative cash</t>
        </is>
      </c>
      <c r="H1" s="1" t="inlineStr">
        <is>
          <t>Cumulative economic</t>
        </is>
      </c>
    </row>
    <row r="2">
      <c r="A2" t="n">
        <v>1</v>
      </c>
      <c r="B2" t="n">
        <v>0</v>
      </c>
      <c r="C2" t="n">
        <v>552</v>
      </c>
      <c r="D2" t="n">
        <v>-552</v>
      </c>
      <c r="E2" t="n">
        <v>0</v>
      </c>
      <c r="F2" t="n">
        <v>-552</v>
      </c>
      <c r="G2" t="n">
        <v>-10470</v>
      </c>
      <c r="H2" t="n">
        <v>-10470</v>
      </c>
    </row>
    <row r="3">
      <c r="A3" t="n">
        <v>2</v>
      </c>
      <c r="B3" t="n">
        <v>0</v>
      </c>
      <c r="C3" t="n">
        <v>552</v>
      </c>
      <c r="D3" t="n">
        <v>-552</v>
      </c>
      <c r="E3" t="n">
        <v>0</v>
      </c>
      <c r="F3" t="n">
        <v>-552</v>
      </c>
      <c r="G3" t="n">
        <v>-11022</v>
      </c>
      <c r="H3" t="n">
        <v>-11022</v>
      </c>
    </row>
    <row r="4">
      <c r="A4" t="n">
        <v>3</v>
      </c>
      <c r="B4" t="n">
        <v>0</v>
      </c>
      <c r="C4" t="n">
        <v>552</v>
      </c>
      <c r="D4" t="n">
        <v>-552</v>
      </c>
      <c r="E4" t="n">
        <v>0</v>
      </c>
      <c r="F4" t="n">
        <v>-552</v>
      </c>
      <c r="G4" t="n">
        <v>-11575</v>
      </c>
      <c r="H4" t="n">
        <v>-11575</v>
      </c>
    </row>
    <row r="5">
      <c r="A5" t="n">
        <v>4</v>
      </c>
      <c r="B5" t="n">
        <v>180</v>
      </c>
      <c r="C5" t="n">
        <v>552</v>
      </c>
      <c r="D5" t="n">
        <v>-373</v>
      </c>
      <c r="E5" t="n">
        <v>100</v>
      </c>
      <c r="F5" t="n">
        <v>-273</v>
      </c>
      <c r="G5" t="n">
        <v>-11948</v>
      </c>
      <c r="H5" t="n">
        <v>-11848</v>
      </c>
    </row>
    <row r="6">
      <c r="A6" t="n">
        <v>5</v>
      </c>
      <c r="B6" t="n">
        <v>420</v>
      </c>
      <c r="C6" t="n">
        <v>552</v>
      </c>
      <c r="D6" t="n">
        <v>-133</v>
      </c>
      <c r="E6" t="n">
        <v>233</v>
      </c>
      <c r="F6" t="n">
        <v>101</v>
      </c>
      <c r="G6" t="n">
        <v>-12080</v>
      </c>
      <c r="H6" t="n">
        <v>-11747</v>
      </c>
    </row>
    <row r="7">
      <c r="A7" t="n">
        <v>6</v>
      </c>
      <c r="B7" t="n">
        <v>719</v>
      </c>
      <c r="C7" t="n">
        <v>552</v>
      </c>
      <c r="D7" t="n">
        <v>167</v>
      </c>
      <c r="E7" t="n">
        <v>400</v>
      </c>
      <c r="F7" t="n">
        <v>567</v>
      </c>
      <c r="G7" t="n">
        <v>-11913</v>
      </c>
      <c r="H7" t="n">
        <v>-11180</v>
      </c>
    </row>
    <row r="8">
      <c r="A8" t="n">
        <v>7</v>
      </c>
      <c r="B8" t="n">
        <v>1019</v>
      </c>
      <c r="C8" t="n">
        <v>552</v>
      </c>
      <c r="D8" t="n">
        <v>467</v>
      </c>
      <c r="E8" t="n">
        <v>567</v>
      </c>
      <c r="F8" t="n">
        <v>1033</v>
      </c>
      <c r="G8" t="n">
        <v>-11447</v>
      </c>
      <c r="H8" t="n">
        <v>-10147</v>
      </c>
    </row>
    <row r="9">
      <c r="A9" t="n">
        <v>8</v>
      </c>
      <c r="B9" t="n">
        <v>1199</v>
      </c>
      <c r="C9" t="n">
        <v>552</v>
      </c>
      <c r="D9" t="n">
        <v>647</v>
      </c>
      <c r="E9" t="n">
        <v>667</v>
      </c>
      <c r="F9" t="n">
        <v>1313</v>
      </c>
      <c r="G9" t="n">
        <v>-10800</v>
      </c>
      <c r="H9" t="n">
        <v>-8833</v>
      </c>
    </row>
    <row r="10">
      <c r="A10" t="n">
        <v>9</v>
      </c>
      <c r="B10" t="n">
        <v>1199</v>
      </c>
      <c r="C10" t="n">
        <v>552</v>
      </c>
      <c r="D10" t="n">
        <v>647</v>
      </c>
      <c r="E10" t="n">
        <v>667</v>
      </c>
      <c r="F10" t="n">
        <v>1313</v>
      </c>
      <c r="G10" t="n">
        <v>-10154</v>
      </c>
      <c r="H10" t="n">
        <v>-7520</v>
      </c>
    </row>
    <row r="11">
      <c r="A11" t="n">
        <v>10</v>
      </c>
      <c r="B11" t="n">
        <v>1199</v>
      </c>
      <c r="C11" t="n">
        <v>552</v>
      </c>
      <c r="D11" t="n">
        <v>647</v>
      </c>
      <c r="E11" t="n">
        <v>667</v>
      </c>
      <c r="F11" t="n">
        <v>1313</v>
      </c>
      <c r="G11" t="n">
        <v>-9507</v>
      </c>
      <c r="H11" t="n">
        <v>-6206</v>
      </c>
    </row>
    <row r="12">
      <c r="A12" t="n">
        <v>11</v>
      </c>
      <c r="B12" t="n">
        <v>1199</v>
      </c>
      <c r="C12" t="n">
        <v>552</v>
      </c>
      <c r="D12" t="n">
        <v>647</v>
      </c>
      <c r="E12" t="n">
        <v>667</v>
      </c>
      <c r="F12" t="n">
        <v>1313</v>
      </c>
      <c r="G12" t="n">
        <v>-8861</v>
      </c>
      <c r="H12" t="n">
        <v>-4893</v>
      </c>
    </row>
    <row r="13">
      <c r="A13" t="n">
        <v>12</v>
      </c>
      <c r="B13" t="n">
        <v>1199</v>
      </c>
      <c r="C13" t="n">
        <v>552</v>
      </c>
      <c r="D13" t="n">
        <v>647</v>
      </c>
      <c r="E13" t="n">
        <v>667</v>
      </c>
      <c r="F13" t="n">
        <v>1313</v>
      </c>
      <c r="G13" t="n">
        <v>-8214</v>
      </c>
      <c r="H13" t="n">
        <v>-3580</v>
      </c>
    </row>
    <row r="14">
      <c r="A14" t="n">
        <v>13</v>
      </c>
      <c r="B14" t="n">
        <v>1199</v>
      </c>
      <c r="C14" t="n">
        <v>552</v>
      </c>
      <c r="D14" t="n">
        <v>647</v>
      </c>
      <c r="E14" t="n">
        <v>667</v>
      </c>
      <c r="F14" t="n">
        <v>1313</v>
      </c>
      <c r="G14" t="n">
        <v>-7567</v>
      </c>
      <c r="H14" t="n">
        <v>-2266</v>
      </c>
    </row>
    <row r="15">
      <c r="A15" t="n">
        <v>14</v>
      </c>
      <c r="B15" t="n">
        <v>1199</v>
      </c>
      <c r="C15" t="n">
        <v>552</v>
      </c>
      <c r="D15" t="n">
        <v>647</v>
      </c>
      <c r="E15" t="n">
        <v>667</v>
      </c>
      <c r="F15" t="n">
        <v>1313</v>
      </c>
      <c r="G15" t="n">
        <v>-6921</v>
      </c>
      <c r="H15" t="n">
        <v>-953</v>
      </c>
    </row>
    <row r="16">
      <c r="A16" t="n">
        <v>15</v>
      </c>
      <c r="B16" t="n">
        <v>1199</v>
      </c>
      <c r="C16" t="n">
        <v>552</v>
      </c>
      <c r="D16" t="n">
        <v>647</v>
      </c>
      <c r="E16" t="n">
        <v>667</v>
      </c>
      <c r="F16" t="n">
        <v>1313</v>
      </c>
      <c r="G16" t="n">
        <v>-6274</v>
      </c>
      <c r="H16" t="n">
        <v>360</v>
      </c>
    </row>
    <row r="17">
      <c r="A17" t="n">
        <v>16</v>
      </c>
      <c r="B17" t="n">
        <v>1199</v>
      </c>
      <c r="C17" t="n">
        <v>552</v>
      </c>
      <c r="D17" t="n">
        <v>647</v>
      </c>
      <c r="E17" t="n">
        <v>667</v>
      </c>
      <c r="F17" t="n">
        <v>1313</v>
      </c>
      <c r="G17" t="n">
        <v>-5628</v>
      </c>
      <c r="H17" t="n">
        <v>1674</v>
      </c>
    </row>
    <row r="18">
      <c r="A18" t="n">
        <v>17</v>
      </c>
      <c r="B18" t="n">
        <v>1199</v>
      </c>
      <c r="C18" t="n">
        <v>552</v>
      </c>
      <c r="D18" t="n">
        <v>647</v>
      </c>
      <c r="E18" t="n">
        <v>667</v>
      </c>
      <c r="F18" t="n">
        <v>1313</v>
      </c>
      <c r="G18" t="n">
        <v>-4981</v>
      </c>
      <c r="H18" t="n">
        <v>2987</v>
      </c>
    </row>
    <row r="19">
      <c r="A19" t="n">
        <v>18</v>
      </c>
      <c r="B19" t="n">
        <v>1199</v>
      </c>
      <c r="C19" t="n">
        <v>552</v>
      </c>
      <c r="D19" t="n">
        <v>647</v>
      </c>
      <c r="E19" t="n">
        <v>667</v>
      </c>
      <c r="F19" t="n">
        <v>1313</v>
      </c>
      <c r="G19" t="n">
        <v>-4335</v>
      </c>
      <c r="H19" t="n">
        <v>4301</v>
      </c>
    </row>
    <row r="20">
      <c r="A20" t="n">
        <v>19</v>
      </c>
      <c r="B20" t="n">
        <v>1199</v>
      </c>
      <c r="C20" t="n">
        <v>552</v>
      </c>
      <c r="D20" t="n">
        <v>647</v>
      </c>
      <c r="E20" t="n">
        <v>667</v>
      </c>
      <c r="F20" t="n">
        <v>1313</v>
      </c>
      <c r="G20" t="n">
        <v>-3688</v>
      </c>
      <c r="H20" t="n">
        <v>5614</v>
      </c>
    </row>
    <row r="21">
      <c r="A21" t="n">
        <v>20</v>
      </c>
      <c r="B21" t="n">
        <v>1199</v>
      </c>
      <c r="C21" t="n">
        <v>552</v>
      </c>
      <c r="D21" t="n">
        <v>647</v>
      </c>
      <c r="E21" t="n">
        <v>667</v>
      </c>
      <c r="F21" t="n">
        <v>1313</v>
      </c>
      <c r="G21" t="n">
        <v>-3042</v>
      </c>
      <c r="H21" t="n">
        <v>6927</v>
      </c>
    </row>
    <row r="22">
      <c r="A22" t="n">
        <v>21</v>
      </c>
      <c r="B22" t="n">
        <v>1199</v>
      </c>
      <c r="C22" t="n">
        <v>552</v>
      </c>
      <c r="D22" t="n">
        <v>647</v>
      </c>
      <c r="E22" t="n">
        <v>667</v>
      </c>
      <c r="F22" t="n">
        <v>1313</v>
      </c>
      <c r="G22" t="n">
        <v>-2395</v>
      </c>
      <c r="H22" t="n">
        <v>8241</v>
      </c>
    </row>
    <row r="23">
      <c r="A23" t="n">
        <v>22</v>
      </c>
      <c r="B23" t="n">
        <v>1199</v>
      </c>
      <c r="C23" t="n">
        <v>552</v>
      </c>
      <c r="D23" t="n">
        <v>647</v>
      </c>
      <c r="E23" t="n">
        <v>667</v>
      </c>
      <c r="F23" t="n">
        <v>1313</v>
      </c>
      <c r="G23" t="n">
        <v>-1748</v>
      </c>
      <c r="H23" t="n">
        <v>9554</v>
      </c>
    </row>
    <row r="24">
      <c r="A24" t="n">
        <v>23</v>
      </c>
      <c r="B24" t="n">
        <v>1199</v>
      </c>
      <c r="C24" t="n">
        <v>552</v>
      </c>
      <c r="D24" t="n">
        <v>647</v>
      </c>
      <c r="E24" t="n">
        <v>667</v>
      </c>
      <c r="F24" t="n">
        <v>1313</v>
      </c>
      <c r="G24" t="n">
        <v>-1102</v>
      </c>
      <c r="H24" t="n">
        <v>10867</v>
      </c>
    </row>
    <row r="25">
      <c r="A25" t="n">
        <v>24</v>
      </c>
      <c r="B25" t="n">
        <v>1199</v>
      </c>
      <c r="C25" t="n">
        <v>552</v>
      </c>
      <c r="D25" t="n">
        <v>647</v>
      </c>
      <c r="E25" t="n">
        <v>667</v>
      </c>
      <c r="F25" t="n">
        <v>1313</v>
      </c>
      <c r="G25" t="n">
        <v>-455</v>
      </c>
      <c r="H25" t="n">
        <v>12181</v>
      </c>
    </row>
    <row r="26">
      <c r="A26" t="n">
        <v>25</v>
      </c>
      <c r="B26" t="n">
        <v>1199</v>
      </c>
      <c r="C26" t="n">
        <v>552</v>
      </c>
      <c r="D26" t="n">
        <v>647</v>
      </c>
      <c r="E26" t="n">
        <v>667</v>
      </c>
      <c r="F26" t="n">
        <v>1313</v>
      </c>
      <c r="G26" t="n">
        <v>191</v>
      </c>
      <c r="H26" t="n">
        <v>13494</v>
      </c>
    </row>
    <row r="27">
      <c r="A27" t="n">
        <v>26</v>
      </c>
      <c r="B27" t="n">
        <v>1199</v>
      </c>
      <c r="C27" t="n">
        <v>552</v>
      </c>
      <c r="D27" t="n">
        <v>647</v>
      </c>
      <c r="E27" t="n">
        <v>667</v>
      </c>
      <c r="F27" t="n">
        <v>1313</v>
      </c>
      <c r="G27" t="n">
        <v>838</v>
      </c>
      <c r="H27" t="n">
        <v>14808</v>
      </c>
    </row>
    <row r="28">
      <c r="A28" t="n">
        <v>27</v>
      </c>
      <c r="B28" t="n">
        <v>1199</v>
      </c>
      <c r="C28" t="n">
        <v>552</v>
      </c>
      <c r="D28" t="n">
        <v>647</v>
      </c>
      <c r="E28" t="n">
        <v>667</v>
      </c>
      <c r="F28" t="n">
        <v>1313</v>
      </c>
      <c r="G28" t="n">
        <v>1484</v>
      </c>
      <c r="H28" t="n">
        <v>16121</v>
      </c>
    </row>
    <row r="29">
      <c r="A29" t="n">
        <v>28</v>
      </c>
      <c r="B29" t="n">
        <v>1199</v>
      </c>
      <c r="C29" t="n">
        <v>552</v>
      </c>
      <c r="D29" t="n">
        <v>647</v>
      </c>
      <c r="E29" t="n">
        <v>667</v>
      </c>
      <c r="F29" t="n">
        <v>1313</v>
      </c>
      <c r="G29" t="n">
        <v>2131</v>
      </c>
      <c r="H29" t="n">
        <v>17434</v>
      </c>
    </row>
    <row r="30">
      <c r="A30" t="n">
        <v>29</v>
      </c>
      <c r="B30" t="n">
        <v>1199</v>
      </c>
      <c r="C30" t="n">
        <v>552</v>
      </c>
      <c r="D30" t="n">
        <v>647</v>
      </c>
      <c r="E30" t="n">
        <v>667</v>
      </c>
      <c r="F30" t="n">
        <v>1313</v>
      </c>
      <c r="G30" t="n">
        <v>2777</v>
      </c>
      <c r="H30" t="n">
        <v>18748</v>
      </c>
    </row>
    <row r="31">
      <c r="A31" t="n">
        <v>30</v>
      </c>
      <c r="B31" t="n">
        <v>1199</v>
      </c>
      <c r="C31" t="n">
        <v>552</v>
      </c>
      <c r="D31" t="n">
        <v>647</v>
      </c>
      <c r="E31" t="n">
        <v>667</v>
      </c>
      <c r="F31" t="n">
        <v>1313</v>
      </c>
      <c r="G31" t="n">
        <v>3424</v>
      </c>
      <c r="H31" t="n">
        <v>20061</v>
      </c>
    </row>
    <row r="32">
      <c r="A32" t="n">
        <v>31</v>
      </c>
      <c r="B32" t="n">
        <v>1199</v>
      </c>
      <c r="C32" t="n">
        <v>552</v>
      </c>
      <c r="D32" t="n">
        <v>647</v>
      </c>
      <c r="E32" t="n">
        <v>667</v>
      </c>
      <c r="F32" t="n">
        <v>1313</v>
      </c>
      <c r="G32" t="n">
        <v>4071</v>
      </c>
      <c r="H32" t="n">
        <v>21374</v>
      </c>
    </row>
    <row r="33">
      <c r="A33" t="n">
        <v>32</v>
      </c>
      <c r="B33" t="n">
        <v>1199</v>
      </c>
      <c r="C33" t="n">
        <v>552</v>
      </c>
      <c r="D33" t="n">
        <v>647</v>
      </c>
      <c r="E33" t="n">
        <v>667</v>
      </c>
      <c r="F33" t="n">
        <v>1313</v>
      </c>
      <c r="G33" t="n">
        <v>4717</v>
      </c>
      <c r="H33" t="n">
        <v>22688</v>
      </c>
    </row>
    <row r="34">
      <c r="A34" t="n">
        <v>33</v>
      </c>
      <c r="B34" t="n">
        <v>1199</v>
      </c>
      <c r="C34" t="n">
        <v>552</v>
      </c>
      <c r="D34" t="n">
        <v>647</v>
      </c>
      <c r="E34" t="n">
        <v>667</v>
      </c>
      <c r="F34" t="n">
        <v>1313</v>
      </c>
      <c r="G34" t="n">
        <v>5364</v>
      </c>
      <c r="H34" t="n">
        <v>24001</v>
      </c>
    </row>
    <row r="35">
      <c r="A35" t="n">
        <v>34</v>
      </c>
      <c r="B35" t="n">
        <v>1199</v>
      </c>
      <c r="C35" t="n">
        <v>552</v>
      </c>
      <c r="D35" t="n">
        <v>647</v>
      </c>
      <c r="E35" t="n">
        <v>667</v>
      </c>
      <c r="F35" t="n">
        <v>1313</v>
      </c>
      <c r="G35" t="n">
        <v>6010</v>
      </c>
      <c r="H35" t="n">
        <v>25315</v>
      </c>
    </row>
    <row r="36">
      <c r="A36" t="n">
        <v>35</v>
      </c>
      <c r="B36" t="n">
        <v>1199</v>
      </c>
      <c r="C36" t="n">
        <v>552</v>
      </c>
      <c r="D36" t="n">
        <v>647</v>
      </c>
      <c r="E36" t="n">
        <v>667</v>
      </c>
      <c r="F36" t="n">
        <v>1313</v>
      </c>
      <c r="G36" t="n">
        <v>6657</v>
      </c>
      <c r="H36" t="n">
        <v>26628</v>
      </c>
    </row>
    <row r="37">
      <c r="A37" t="n">
        <v>36</v>
      </c>
      <c r="B37" t="n">
        <v>1199</v>
      </c>
      <c r="C37" t="n">
        <v>552</v>
      </c>
      <c r="D37" t="n">
        <v>647</v>
      </c>
      <c r="E37" t="n">
        <v>667</v>
      </c>
      <c r="F37" t="n">
        <v>1313</v>
      </c>
      <c r="G37" t="n">
        <v>7303</v>
      </c>
      <c r="H37" t="n">
        <v>27941</v>
      </c>
    </row>
    <row r="38">
      <c r="A38" s="3" t="inlineStr">
        <is>
          <t>Break-even month (cash basis):</t>
        </is>
      </c>
      <c r="B38" s="5" t="n">
        <v>25</v>
      </c>
    </row>
    <row r="39">
      <c r="A39" s="3" t="inlineStr">
        <is>
          <t>Break-even month (economic — incl. food the community does not buy):</t>
        </is>
      </c>
      <c r="B39" s="5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7" customWidth="1" min="3" max="3"/>
    <col width="11" customWidth="1" min="4" max="4"/>
    <col width="11" customWidth="1" min="5" max="5"/>
    <col width="11" customWidth="1" min="6" max="6"/>
    <col width="11" customWidth="1" min="7" max="7"/>
    <col width="15" customWidth="1" min="8" max="8"/>
    <col width="17" customWidth="1" min="9" max="9"/>
    <col width="46" customWidth="1" min="10" max="10"/>
  </cols>
  <sheetData>
    <row r="1">
      <c r="A1" s="1" t="inlineStr">
        <is>
          <t>Residents H</t>
        </is>
      </c>
      <c r="B1" s="1" t="inlineStr">
        <is>
          <t>Scenario</t>
        </is>
      </c>
      <c r="C1" s="1" t="inlineStr">
        <is>
          <t>Kits</t>
        </is>
      </c>
      <c r="D1" s="1" t="inlineStr">
        <is>
          <t>CAPEX</t>
        </is>
      </c>
      <c r="E1" s="1" t="inlineStr">
        <is>
          <t>Rev/mo</t>
        </is>
      </c>
      <c r="F1" s="1" t="inlineStr">
        <is>
          <t>Opex/mo</t>
        </is>
      </c>
      <c r="G1" s="1" t="inlineStr">
        <is>
          <t>Net/mo</t>
        </is>
      </c>
      <c r="H1" s="1" t="inlineStr">
        <is>
          <t>Cash break-even</t>
        </is>
      </c>
      <c r="I1" s="1" t="inlineStr">
        <is>
          <t>Economic break-even</t>
        </is>
      </c>
      <c r="J1" s="1" t="inlineStr">
        <is>
          <t>Note</t>
        </is>
      </c>
    </row>
    <row r="2">
      <c r="A2" t="n">
        <v>10</v>
      </c>
      <c r="B2" t="inlineStr">
        <is>
          <t>A — community-sized only</t>
        </is>
      </c>
      <c r="C2" t="n">
        <v>1</v>
      </c>
      <c r="D2" t="n">
        <v>9917</v>
      </c>
      <c r="E2" t="n">
        <v>0</v>
      </c>
      <c r="F2" t="n">
        <v>285</v>
      </c>
      <c r="G2" t="n">
        <v>-285</v>
      </c>
      <c r="H2" t="inlineStr">
        <is>
          <t>&gt;36</t>
        </is>
      </c>
      <c r="I2" t="inlineStr">
        <is>
          <t>&gt;36</t>
        </is>
      </c>
      <c r="J2" t="inlineStr">
        <is>
          <t>Flock sized to community only; near-zero surplus sales — food-first but NEVER repays equipment on cash</t>
        </is>
      </c>
    </row>
    <row r="3">
      <c r="A3" s="5" t="n">
        <v>10</v>
      </c>
      <c r="B3" s="5" t="inlineStr">
        <is>
          <t>B — balanced (recommended)</t>
        </is>
      </c>
      <c r="C3" s="5" t="n">
        <v>1</v>
      </c>
      <c r="D3" s="5" t="n">
        <v>9917</v>
      </c>
      <c r="E3" s="5" t="n">
        <v>1468</v>
      </c>
      <c r="F3" s="5" t="n">
        <v>552</v>
      </c>
      <c r="G3" s="5" t="n">
        <v>915</v>
      </c>
      <c r="H3" s="5" t="n">
        <v>19</v>
      </c>
      <c r="I3" s="5" t="n">
        <v>16</v>
      </c>
      <c r="J3" s="5" t="inlineStr">
        <is>
          <t>Minimum kits at FULL production incl. full incubation; community eats first, all surplus sold — RECOMMENDED</t>
        </is>
      </c>
    </row>
    <row r="4">
      <c r="A4" t="n">
        <v>10</v>
      </c>
      <c r="B4" t="inlineStr">
        <is>
          <t>C — commercial</t>
        </is>
      </c>
      <c r="C4" t="n">
        <v>2</v>
      </c>
      <c r="D4" t="n">
        <v>14735</v>
      </c>
      <c r="E4" t="n">
        <v>3203</v>
      </c>
      <c r="F4" t="n">
        <v>955</v>
      </c>
      <c r="G4" t="n">
        <v>2248</v>
      </c>
      <c r="H4" t="n">
        <v>14</v>
      </c>
      <c r="I4" t="n">
        <v>13</v>
      </c>
      <c r="J4" t="inlineStr">
        <is>
          <t>One extra kit of surplus capacity; fastest cash break-even; more sales effort required</t>
        </is>
      </c>
    </row>
    <row r="5">
      <c r="A5" t="n">
        <v>20</v>
      </c>
      <c r="B5" t="inlineStr">
        <is>
          <t>A — community-sized only</t>
        </is>
      </c>
      <c r="C5" t="n">
        <v>1</v>
      </c>
      <c r="D5" t="n">
        <v>9917</v>
      </c>
      <c r="E5" t="n">
        <v>1</v>
      </c>
      <c r="F5" t="n">
        <v>325</v>
      </c>
      <c r="G5" t="n">
        <v>-325</v>
      </c>
      <c r="H5" t="inlineStr">
        <is>
          <t>&gt;36</t>
        </is>
      </c>
      <c r="I5" t="inlineStr">
        <is>
          <t>&gt;36</t>
        </is>
      </c>
      <c r="J5" t="inlineStr">
        <is>
          <t>Flock sized to community only; near-zero surplus sales — food-first but NEVER repays equipment on cash</t>
        </is>
      </c>
    </row>
    <row r="6">
      <c r="A6" s="5" t="n">
        <v>20</v>
      </c>
      <c r="B6" s="5" t="inlineStr">
        <is>
          <t>B — balanced (recommended)</t>
        </is>
      </c>
      <c r="C6" s="5" t="n">
        <v>1</v>
      </c>
      <c r="D6" s="5" t="n">
        <v>9917</v>
      </c>
      <c r="E6" s="5" t="n">
        <v>1199</v>
      </c>
      <c r="F6" s="5" t="n">
        <v>552</v>
      </c>
      <c r="G6" s="5" t="n">
        <v>647</v>
      </c>
      <c r="H6" s="5" t="n">
        <v>25</v>
      </c>
      <c r="I6" s="5" t="n">
        <v>15</v>
      </c>
      <c r="J6" s="5" t="inlineStr">
        <is>
          <t>Minimum kits at FULL production incl. full incubation; community eats first, all surplus sold — RECOMMENDED</t>
        </is>
      </c>
    </row>
    <row r="7">
      <c r="A7" t="n">
        <v>20</v>
      </c>
      <c r="B7" t="inlineStr">
        <is>
          <t>C — commercial</t>
        </is>
      </c>
      <c r="C7" t="n">
        <v>2</v>
      </c>
      <c r="D7" t="n">
        <v>14735</v>
      </c>
      <c r="E7" t="n">
        <v>2935</v>
      </c>
      <c r="F7" t="n">
        <v>955</v>
      </c>
      <c r="G7" t="n">
        <v>1980</v>
      </c>
      <c r="H7" t="n">
        <v>15</v>
      </c>
      <c r="I7" t="n">
        <v>13</v>
      </c>
      <c r="J7" t="inlineStr">
        <is>
          <t>One extra kit of surplus capacity; fastest cash break-even; more sales effort required</t>
        </is>
      </c>
    </row>
    <row r="8">
      <c r="A8" t="n">
        <v>40</v>
      </c>
      <c r="B8" t="inlineStr">
        <is>
          <t>A — community-sized only</t>
        </is>
      </c>
      <c r="C8" t="n">
        <v>1</v>
      </c>
      <c r="D8" t="n">
        <v>9917</v>
      </c>
      <c r="E8" t="n">
        <v>1</v>
      </c>
      <c r="F8" t="n">
        <v>406</v>
      </c>
      <c r="G8" t="n">
        <v>-404</v>
      </c>
      <c r="H8" t="inlineStr">
        <is>
          <t>&gt;36</t>
        </is>
      </c>
      <c r="I8" t="n">
        <v>18</v>
      </c>
      <c r="J8" t="inlineStr">
        <is>
          <t>Flock sized to community only; near-zero surplus sales — food-first but NEVER repays equipment on cash</t>
        </is>
      </c>
    </row>
    <row r="9">
      <c r="A9" s="5" t="n">
        <v>40</v>
      </c>
      <c r="B9" s="5" t="inlineStr">
        <is>
          <t>B — balanced (recommended)</t>
        </is>
      </c>
      <c r="C9" s="5" t="n">
        <v>1</v>
      </c>
      <c r="D9" s="5" t="n">
        <v>9917</v>
      </c>
      <c r="E9" s="5" t="n">
        <v>662</v>
      </c>
      <c r="F9" s="5" t="n">
        <v>552</v>
      </c>
      <c r="G9" s="5" t="n">
        <v>110</v>
      </c>
      <c r="H9" s="5" t="inlineStr">
        <is>
          <t>&gt;36</t>
        </is>
      </c>
      <c r="I9" s="5" t="n">
        <v>14</v>
      </c>
      <c r="J9" s="5" t="inlineStr">
        <is>
          <t>Minimum kits at FULL production incl. full incubation; community eats first, all surplus sold — RECOMMENDED</t>
        </is>
      </c>
    </row>
    <row r="10">
      <c r="A10" t="n">
        <v>40</v>
      </c>
      <c r="B10" t="inlineStr">
        <is>
          <t>C — commercial</t>
        </is>
      </c>
      <c r="C10" t="n">
        <v>2</v>
      </c>
      <c r="D10" t="n">
        <v>14735</v>
      </c>
      <c r="E10" t="n">
        <v>2398</v>
      </c>
      <c r="F10" t="n">
        <v>955</v>
      </c>
      <c r="G10" t="n">
        <v>1443</v>
      </c>
      <c r="H10" t="n">
        <v>19</v>
      </c>
      <c r="I10" t="n">
        <v>13</v>
      </c>
      <c r="J10" t="inlineStr">
        <is>
          <t>One extra kit of surplus capacity; fastest cash break-even; more sales effort required</t>
        </is>
      </c>
    </row>
    <row r="11">
      <c r="A11" t="n">
        <v>77</v>
      </c>
      <c r="B11" t="inlineStr">
        <is>
          <t>A — community-sized only</t>
        </is>
      </c>
      <c r="C11" t="n">
        <v>1</v>
      </c>
      <c r="D11" t="n">
        <v>9917</v>
      </c>
      <c r="E11" t="n">
        <v>75</v>
      </c>
      <c r="F11" t="n">
        <v>552</v>
      </c>
      <c r="G11" t="n">
        <v>-478</v>
      </c>
      <c r="H11" t="inlineStr">
        <is>
          <t>&gt;36</t>
        </is>
      </c>
      <c r="I11" t="n">
        <v>12</v>
      </c>
      <c r="J11" t="inlineStr">
        <is>
          <t>Flock sized to community only; near-zero surplus sales — food-first but NEVER repays equipment on cash</t>
        </is>
      </c>
    </row>
    <row r="12">
      <c r="A12" s="5" t="n">
        <v>77</v>
      </c>
      <c r="B12" s="5" t="inlineStr">
        <is>
          <t>B — balanced (recommended)</t>
        </is>
      </c>
      <c r="C12" s="5" t="n">
        <v>2</v>
      </c>
      <c r="D12" s="5" t="n">
        <v>14735</v>
      </c>
      <c r="E12" s="5" t="n">
        <v>1405</v>
      </c>
      <c r="F12" s="5" t="n">
        <v>955</v>
      </c>
      <c r="G12" s="5" t="n">
        <v>450</v>
      </c>
      <c r="H12" s="5" t="inlineStr">
        <is>
          <t>&gt;36</t>
        </is>
      </c>
      <c r="I12" s="5" t="n">
        <v>12</v>
      </c>
      <c r="J12" s="5" t="inlineStr">
        <is>
          <t>Minimum kits at FULL production incl. full incubation; community eats first, all surplus sold — RECOMMENDED</t>
        </is>
      </c>
    </row>
    <row r="13">
      <c r="A13" t="n">
        <v>77</v>
      </c>
      <c r="B13" t="inlineStr">
        <is>
          <t>C — commercial</t>
        </is>
      </c>
      <c r="C13" t="n">
        <v>3</v>
      </c>
      <c r="D13" t="n">
        <v>19552</v>
      </c>
      <c r="E13" t="n">
        <v>3141</v>
      </c>
      <c r="F13" t="n">
        <v>1358</v>
      </c>
      <c r="G13" t="n">
        <v>1783</v>
      </c>
      <c r="H13" t="n">
        <v>20</v>
      </c>
      <c r="I13" t="n">
        <v>12</v>
      </c>
      <c r="J13" t="inlineStr">
        <is>
          <t>One extra kit of surplus capacity; fastest cash break-even; more sales effort required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20" customWidth="1" min="4" max="4"/>
  </cols>
  <sheetData>
    <row r="1">
      <c r="A1" s="1" t="inlineStr">
        <is>
          <t>Bird price ($)</t>
        </is>
      </c>
      <c r="B1" s="1" t="inlineStr">
        <is>
          <t>Egg price ($/dozen)</t>
        </is>
      </c>
      <c r="C1" s="1" t="inlineStr">
        <is>
          <t>Net/mo (steady)</t>
        </is>
      </c>
      <c r="D1" s="1" t="inlineStr">
        <is>
          <t>Cash break-even (mo)</t>
        </is>
      </c>
    </row>
    <row r="2">
      <c r="A2" t="n">
        <v>2</v>
      </c>
      <c r="B2" t="n">
        <v>2.5</v>
      </c>
      <c r="C2" t="n">
        <v>311</v>
      </c>
      <c r="D2" t="inlineStr">
        <is>
          <t>&gt;36</t>
        </is>
      </c>
    </row>
    <row r="3">
      <c r="A3" t="n">
        <v>2</v>
      </c>
      <c r="B3" t="n">
        <v>3.5</v>
      </c>
      <c r="C3" t="n">
        <v>577</v>
      </c>
      <c r="D3" t="n">
        <v>28</v>
      </c>
    </row>
    <row r="4">
      <c r="A4" t="n">
        <v>2</v>
      </c>
      <c r="B4" t="n">
        <v>4.5</v>
      </c>
      <c r="C4" t="n">
        <v>844</v>
      </c>
      <c r="D4" t="n">
        <v>21</v>
      </c>
    </row>
    <row r="5">
      <c r="A5" t="n">
        <v>2.7</v>
      </c>
      <c r="B5" t="n">
        <v>2.5</v>
      </c>
      <c r="C5" t="n">
        <v>380</v>
      </c>
      <c r="D5" t="inlineStr">
        <is>
          <t>&gt;36</t>
        </is>
      </c>
    </row>
    <row r="6">
      <c r="A6" t="n">
        <v>2.7</v>
      </c>
      <c r="B6" t="n">
        <v>3.5</v>
      </c>
      <c r="C6" t="n">
        <v>647</v>
      </c>
      <c r="D6" t="n">
        <v>25</v>
      </c>
    </row>
    <row r="7">
      <c r="A7" t="n">
        <v>2.7</v>
      </c>
      <c r="B7" t="n">
        <v>4.5</v>
      </c>
      <c r="C7" t="n">
        <v>913</v>
      </c>
      <c r="D7" t="n">
        <v>19</v>
      </c>
    </row>
    <row r="8">
      <c r="A8" t="n">
        <v>3.5</v>
      </c>
      <c r="B8" t="n">
        <v>2.5</v>
      </c>
      <c r="C8" t="n">
        <v>459</v>
      </c>
      <c r="D8" t="n">
        <v>33</v>
      </c>
    </row>
    <row r="9">
      <c r="A9" t="n">
        <v>3.5</v>
      </c>
      <c r="B9" t="n">
        <v>3.5</v>
      </c>
      <c r="C9" t="n">
        <v>726</v>
      </c>
      <c r="D9" t="n">
        <v>23</v>
      </c>
    </row>
    <row r="10">
      <c r="A10" t="n">
        <v>3.5</v>
      </c>
      <c r="B10" t="n">
        <v>4.5</v>
      </c>
      <c r="C10" t="n">
        <v>992</v>
      </c>
      <c r="D10" t="n">
        <v>18</v>
      </c>
    </row>
    <row r="12">
      <c r="A12" t="inlineStr">
        <is>
          <t>Base case (B, H=20): bird $2.70, egg $3.50 → cash break-even month</t>
        </is>
      </c>
      <c r="B12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6" customWidth="1" min="3" max="3"/>
  </cols>
  <sheetData>
    <row r="1">
      <c r="A1" s="1" t="inlineStr">
        <is>
          <t>Module (add only after quail line covers its own costs)</t>
        </is>
      </c>
      <c r="B1" s="1" t="inlineStr">
        <is>
          <t>Rough CAPEX</t>
        </is>
      </c>
      <c r="C1" s="1" t="inlineStr">
        <is>
          <t>When</t>
        </is>
      </c>
    </row>
    <row r="2">
      <c r="A2" t="inlineStr">
        <is>
          <t>Standalone 216-egg incubator (doubles meat output — add before a 2nd kit)</t>
        </is>
      </c>
      <c r="B2" t="inlineStr">
        <is>
          <t>~$500–900</t>
        </is>
      </c>
      <c r="C2" t="inlineStr">
        <is>
          <t>any time</t>
        </is>
      </c>
    </row>
    <row r="3">
      <c r="A3" t="inlineStr">
        <is>
          <t>Sprout room (racks, trays, lighting) — fastest add-on revenue</t>
        </is>
      </c>
      <c r="B3" t="inlineStr">
        <is>
          <t>~$1,000–2,000</t>
        </is>
      </c>
      <c r="C3" t="inlineStr">
        <is>
          <t>Phase 1–2</t>
        </is>
      </c>
    </row>
    <row r="4">
      <c r="A4" t="inlineStr">
        <is>
          <t>Crickets (containers, colony starter, racks)</t>
        </is>
      </c>
      <c r="B4" t="inlineStr">
        <is>
          <t>~$2,000–3,000</t>
        </is>
      </c>
      <c r="C4" t="inlineStr">
        <is>
          <t>Phase 2</t>
        </is>
      </c>
    </row>
    <row r="5">
      <c r="A5" t="inlineStr">
        <is>
          <t>BSFL farm (bins, larvae starter, drying)</t>
        </is>
      </c>
      <c r="B5" t="inlineStr">
        <is>
          <t>~$1,500–2,500</t>
        </is>
      </c>
      <c r="C5" t="inlineStr">
        <is>
          <t>Phase 2</t>
        </is>
      </c>
    </row>
    <row r="6">
      <c r="A6" t="inlineStr">
        <is>
          <t>Tilapia (tanks, filtration, aeration, fingerlings)</t>
        </is>
      </c>
      <c r="B6" t="inlineStr">
        <is>
          <t>~$3,000–5,000</t>
        </is>
      </c>
      <c r="C6" t="inlineStr">
        <is>
          <t>Phase 2–3</t>
        </is>
      </c>
    </row>
    <row r="7">
      <c r="A7" t="inlineStr">
        <is>
          <t>Greenhouse / season extension</t>
        </is>
      </c>
      <c r="B7" t="inlineStr">
        <is>
          <t>~$3,000–8,000</t>
        </is>
      </c>
      <c r="C7" t="inlineStr">
        <is>
          <t>Phase 3</t>
        </is>
      </c>
    </row>
    <row r="9">
      <c r="A9" t="inlineStr">
        <is>
          <t>These complete the full loop modeled in the arXiv preprint (plants–crickets–quail–fish–BSFL–soil).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2026-09-23T18:35:44Z</dcterms:created>
  <dcterms:modified xmlns:dcterms="http://purl.org/dc/terms/" xmlns:xsi="http://www.w3.org/2001/XMLSchema-instance" xsi:type="dcterms:W3CDTF">2026-09-23T18:35:44Z</dcterms:modified>
</cp:coreProperties>
</file>